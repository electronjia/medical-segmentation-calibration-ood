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kad\Desktop\github_repos\medical-segmentation-calibration-ood\"/>
    </mc:Choice>
  </mc:AlternateContent>
  <xr:revisionPtr revIDLastSave="0" documentId="13_ncr:1_{0960D3B8-DCD2-4CD9-A2DD-9B7673681E18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Sheet1" sheetId="1" r:id="rId1"/>
    <sheet name="validation" sheetId="2" r:id="rId2"/>
    <sheet name="test" sheetId="3" r:id="rId3"/>
    <sheet name="combined_model_trained_on_all_d" sheetId="4" r:id="rId4"/>
    <sheet name="combined_comparison_test" sheetId="5" r:id="rId5"/>
  </sheets>
  <definedNames>
    <definedName name="_xlnm._FilterDatabase" localSheetId="0" hidden="1">Sheet1!$A$1:$D$49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3" i="3"/>
  <c r="C5" i="3"/>
  <c r="C8" i="3"/>
  <c r="C9" i="3"/>
  <c r="C4" i="3"/>
  <c r="C2" i="3"/>
  <c r="C14" i="3"/>
  <c r="C15" i="3"/>
  <c r="C11" i="3"/>
  <c r="C13" i="3"/>
  <c r="C16" i="3"/>
  <c r="C17" i="3"/>
  <c r="C12" i="3"/>
  <c r="C10" i="3"/>
  <c r="C22" i="3"/>
  <c r="C23" i="3"/>
  <c r="C19" i="3"/>
  <c r="C21" i="3"/>
  <c r="C24" i="3"/>
  <c r="C25" i="3"/>
  <c r="C20" i="3"/>
  <c r="C18" i="3"/>
  <c r="C6" i="3"/>
  <c r="C7" i="2"/>
  <c r="C3" i="2"/>
  <c r="C5" i="2"/>
  <c r="C8" i="2"/>
  <c r="C9" i="2"/>
  <c r="C4" i="2"/>
  <c r="C2" i="2"/>
  <c r="C14" i="2"/>
  <c r="C15" i="2"/>
  <c r="C11" i="2"/>
  <c r="C13" i="2"/>
  <c r="C16" i="2"/>
  <c r="C17" i="2"/>
  <c r="C12" i="2"/>
  <c r="C10" i="2"/>
  <c r="C22" i="2"/>
  <c r="C23" i="2"/>
  <c r="C19" i="2"/>
  <c r="C21" i="2"/>
  <c r="C24" i="2"/>
  <c r="C25" i="2"/>
  <c r="C20" i="2"/>
  <c r="C18" i="2"/>
  <c r="C6" i="2"/>
</calcChain>
</file>

<file path=xl/sharedStrings.xml><?xml version="1.0" encoding="utf-8"?>
<sst xmlns="http://schemas.openxmlformats.org/spreadsheetml/2006/main" count="280" uniqueCount="35">
  <si>
    <t>kidney</t>
  </si>
  <si>
    <t>liver</t>
  </si>
  <si>
    <t>heart</t>
  </si>
  <si>
    <t>hippocampus</t>
  </si>
  <si>
    <t>lung</t>
  </si>
  <si>
    <t>pancreas</t>
  </si>
  <si>
    <t>hepaticvessel</t>
  </si>
  <si>
    <t>colon</t>
  </si>
  <si>
    <t>Model</t>
  </si>
  <si>
    <t>Stage</t>
  </si>
  <si>
    <t>Organ</t>
  </si>
  <si>
    <t>DCS</t>
  </si>
  <si>
    <t>3D U-Net</t>
  </si>
  <si>
    <t>Davood</t>
  </si>
  <si>
    <t>SegResNet</t>
  </si>
  <si>
    <t>Test</t>
  </si>
  <si>
    <t>Validation</t>
  </si>
  <si>
    <t>Kidney</t>
  </si>
  <si>
    <t>Liver</t>
  </si>
  <si>
    <t>Heart</t>
  </si>
  <si>
    <t>Lung</t>
  </si>
  <si>
    <t>Pancreas</t>
  </si>
  <si>
    <t>Hepatic vessel</t>
  </si>
  <si>
    <t>Colon</t>
  </si>
  <si>
    <t>DCS_validation</t>
  </si>
  <si>
    <t>DCS_test</t>
  </si>
  <si>
    <t>Hippocampus</t>
  </si>
  <si>
    <t>Validation DCS</t>
  </si>
  <si>
    <t>DCS Test</t>
  </si>
  <si>
    <t>Model trained on all data</t>
  </si>
  <si>
    <t>Model separately trained on each dataset</t>
  </si>
  <si>
    <t>Davood et al results</t>
  </si>
  <si>
    <t>Project replicated model</t>
  </si>
  <si>
    <t>Validation test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</si>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</sst>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Border="1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Fill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9"/>
  <sheetViews>
    <sheetView workbookViewId="0">
      <selection activeCell="C19" sqref="A1:D49"/>
    </sheetView>
  </sheetViews>
  <sheetFormatPr defaultRowHeight="14.4" x14ac:dyDescent="0.3"/>
  <cols>
    <col min="1" max="1" width="10.88671875" bestFit="1" customWidth="1"/>
    <col min="2" max="2" width="10.109375" bestFit="1" customWidth="1"/>
    <col min="3" max="3" width="11.88671875" bestFit="1" customWidth="1"/>
    <col min="4" max="4" width="12" bestFit="1" customWidth="1"/>
  </cols>
  <sheetData>
    <row r="1" spans="1:4" x14ac:dyDescent="0.3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">
      <c r="A2" t="s">
        <v>12</v>
      </c>
      <c r="B2" t="s">
        <v>15</v>
      </c>
      <c r="C2" t="s">
        <v>0</v>
      </c>
      <c r="D2">
        <v>0.97440188744711498</v>
      </c>
    </row>
    <row r="3" spans="1:4" x14ac:dyDescent="0.3">
      <c r="A3" t="s">
        <v>12</v>
      </c>
      <c r="B3" t="s">
        <v>15</v>
      </c>
      <c r="C3" t="s">
        <v>1</v>
      </c>
      <c r="D3">
        <v>0.99405782421429956</v>
      </c>
    </row>
    <row r="4" spans="1:4" x14ac:dyDescent="0.3">
      <c r="A4" t="s">
        <v>12</v>
      </c>
      <c r="B4" t="s">
        <v>15</v>
      </c>
      <c r="C4" t="s">
        <v>2</v>
      </c>
      <c r="D4">
        <v>0.99540450175603234</v>
      </c>
    </row>
    <row r="5" spans="1:4" x14ac:dyDescent="0.3">
      <c r="A5" t="s">
        <v>12</v>
      </c>
      <c r="B5" t="s">
        <v>15</v>
      </c>
      <c r="C5" t="s">
        <v>3</v>
      </c>
      <c r="D5">
        <v>0.99948998445119608</v>
      </c>
    </row>
    <row r="6" spans="1:4" x14ac:dyDescent="0.3">
      <c r="A6" t="s">
        <v>12</v>
      </c>
      <c r="B6" t="s">
        <v>15</v>
      </c>
      <c r="C6" t="s">
        <v>4</v>
      </c>
      <c r="D6">
        <v>0.99701233373747933</v>
      </c>
    </row>
    <row r="7" spans="1:4" x14ac:dyDescent="0.3">
      <c r="A7" t="s">
        <v>12</v>
      </c>
      <c r="B7" t="s">
        <v>15</v>
      </c>
      <c r="C7" t="s">
        <v>5</v>
      </c>
      <c r="D7">
        <v>0.99815227517059868</v>
      </c>
    </row>
    <row r="8" spans="1:4" x14ac:dyDescent="0.3">
      <c r="A8" t="s">
        <v>12</v>
      </c>
      <c r="B8" t="s">
        <v>15</v>
      </c>
      <c r="C8" t="s">
        <v>6</v>
      </c>
      <c r="D8">
        <v>0.99241997467146981</v>
      </c>
    </row>
    <row r="9" spans="1:4" x14ac:dyDescent="0.3">
      <c r="A9" t="s">
        <v>12</v>
      </c>
      <c r="B9" t="s">
        <v>15</v>
      </c>
      <c r="C9" t="s">
        <v>7</v>
      </c>
      <c r="D9">
        <v>0.99595714904166555</v>
      </c>
    </row>
    <row r="10" spans="1:4" hidden="1" x14ac:dyDescent="0.3">
      <c r="A10" t="s">
        <v>12</v>
      </c>
      <c r="B10" t="s">
        <v>16</v>
      </c>
      <c r="C10" t="s">
        <v>0</v>
      </c>
      <c r="D10">
        <v>0.98057573891821359</v>
      </c>
    </row>
    <row r="11" spans="1:4" hidden="1" x14ac:dyDescent="0.3">
      <c r="A11" t="s">
        <v>12</v>
      </c>
      <c r="B11" t="s">
        <v>16</v>
      </c>
      <c r="C11" t="s">
        <v>1</v>
      </c>
      <c r="D11">
        <v>0.99160295724868774</v>
      </c>
    </row>
    <row r="12" spans="1:4" hidden="1" x14ac:dyDescent="0.3">
      <c r="A12" t="s">
        <v>12</v>
      </c>
      <c r="B12" t="s">
        <v>16</v>
      </c>
      <c r="C12" t="s">
        <v>2</v>
      </c>
      <c r="D12">
        <v>0.99509807676076889</v>
      </c>
    </row>
    <row r="13" spans="1:4" hidden="1" x14ac:dyDescent="0.3">
      <c r="A13" t="s">
        <v>12</v>
      </c>
      <c r="B13" t="s">
        <v>16</v>
      </c>
      <c r="C13" t="s">
        <v>3</v>
      </c>
      <c r="D13">
        <v>0.9995013595773623</v>
      </c>
    </row>
    <row r="14" spans="1:4" hidden="1" x14ac:dyDescent="0.3">
      <c r="A14" t="s">
        <v>12</v>
      </c>
      <c r="B14" t="s">
        <v>16</v>
      </c>
      <c r="C14" t="s">
        <v>4</v>
      </c>
      <c r="D14">
        <v>0.99647028923034664</v>
      </c>
    </row>
    <row r="15" spans="1:4" hidden="1" x14ac:dyDescent="0.3">
      <c r="A15" t="s">
        <v>12</v>
      </c>
      <c r="B15" t="s">
        <v>16</v>
      </c>
      <c r="C15" t="s">
        <v>5</v>
      </c>
      <c r="D15">
        <v>0.99829206934997017</v>
      </c>
    </row>
    <row r="16" spans="1:4" hidden="1" x14ac:dyDescent="0.3">
      <c r="A16" t="s">
        <v>12</v>
      </c>
      <c r="B16" t="s">
        <v>16</v>
      </c>
      <c r="C16" t="s">
        <v>6</v>
      </c>
      <c r="D16">
        <v>0.99197131493860036</v>
      </c>
    </row>
    <row r="17" spans="1:4" hidden="1" x14ac:dyDescent="0.3">
      <c r="A17" t="s">
        <v>12</v>
      </c>
      <c r="B17" t="s">
        <v>16</v>
      </c>
      <c r="C17" t="s">
        <v>7</v>
      </c>
      <c r="D17">
        <v>0.99588009595870974</v>
      </c>
    </row>
    <row r="18" spans="1:4" x14ac:dyDescent="0.3">
      <c r="A18" t="s">
        <v>13</v>
      </c>
      <c r="B18" t="s">
        <v>15</v>
      </c>
      <c r="C18" t="s">
        <v>0</v>
      </c>
      <c r="D18">
        <v>0.96114333281441344</v>
      </c>
    </row>
    <row r="19" spans="1:4" x14ac:dyDescent="0.3">
      <c r="A19" t="s">
        <v>13</v>
      </c>
      <c r="B19" t="s">
        <v>15</v>
      </c>
      <c r="C19" t="s">
        <v>1</v>
      </c>
      <c r="D19">
        <v>0.99338068564732873</v>
      </c>
    </row>
    <row r="20" spans="1:4" x14ac:dyDescent="0.3">
      <c r="A20" t="s">
        <v>13</v>
      </c>
      <c r="B20" t="s">
        <v>15</v>
      </c>
      <c r="C20" t="s">
        <v>2</v>
      </c>
      <c r="D20">
        <v>0.96931352217992151</v>
      </c>
    </row>
    <row r="21" spans="1:4" x14ac:dyDescent="0.3">
      <c r="A21" t="s">
        <v>13</v>
      </c>
      <c r="B21" t="s">
        <v>15</v>
      </c>
      <c r="C21" t="s">
        <v>3</v>
      </c>
      <c r="D21">
        <v>0.99969231241788614</v>
      </c>
    </row>
    <row r="22" spans="1:4" x14ac:dyDescent="0.3">
      <c r="A22" t="s">
        <v>13</v>
      </c>
      <c r="B22" t="s">
        <v>15</v>
      </c>
      <c r="C22" t="s">
        <v>4</v>
      </c>
      <c r="D22">
        <v>0.98699307110574508</v>
      </c>
    </row>
    <row r="23" spans="1:4" x14ac:dyDescent="0.3">
      <c r="A23" t="s">
        <v>13</v>
      </c>
      <c r="B23" t="s">
        <v>15</v>
      </c>
      <c r="C23" t="s">
        <v>5</v>
      </c>
      <c r="D23">
        <v>0.99581754988148097</v>
      </c>
    </row>
    <row r="24" spans="1:4" x14ac:dyDescent="0.3">
      <c r="A24" t="s">
        <v>13</v>
      </c>
      <c r="B24" t="s">
        <v>15</v>
      </c>
      <c r="C24" t="s">
        <v>6</v>
      </c>
      <c r="D24">
        <v>0.98979566958215504</v>
      </c>
    </row>
    <row r="25" spans="1:4" x14ac:dyDescent="0.3">
      <c r="A25" t="s">
        <v>13</v>
      </c>
      <c r="B25" t="s">
        <v>15</v>
      </c>
      <c r="C25" t="s">
        <v>7</v>
      </c>
      <c r="D25">
        <v>0.98878433414407674</v>
      </c>
    </row>
    <row r="26" spans="1:4" hidden="1" x14ac:dyDescent="0.3">
      <c r="A26" t="s">
        <v>13</v>
      </c>
      <c r="B26" t="s">
        <v>16</v>
      </c>
      <c r="C26" t="s">
        <v>0</v>
      </c>
      <c r="D26">
        <v>0.96727768225329258</v>
      </c>
    </row>
    <row r="27" spans="1:4" hidden="1" x14ac:dyDescent="0.3">
      <c r="A27" t="s">
        <v>13</v>
      </c>
      <c r="B27" t="s">
        <v>16</v>
      </c>
      <c r="C27" t="s">
        <v>1</v>
      </c>
      <c r="D27">
        <v>0.99341542273759842</v>
      </c>
    </row>
    <row r="28" spans="1:4" hidden="1" x14ac:dyDescent="0.3">
      <c r="A28" t="s">
        <v>13</v>
      </c>
      <c r="B28" t="s">
        <v>16</v>
      </c>
      <c r="C28" t="s">
        <v>2</v>
      </c>
      <c r="D28">
        <v>0.97224900871515274</v>
      </c>
    </row>
    <row r="29" spans="1:4" hidden="1" x14ac:dyDescent="0.3">
      <c r="A29" t="s">
        <v>13</v>
      </c>
      <c r="B29" t="s">
        <v>16</v>
      </c>
      <c r="C29" t="s">
        <v>3</v>
      </c>
      <c r="D29">
        <v>0.99969488955461061</v>
      </c>
    </row>
    <row r="30" spans="1:4" hidden="1" x14ac:dyDescent="0.3">
      <c r="A30" t="s">
        <v>13</v>
      </c>
      <c r="B30" t="s">
        <v>16</v>
      </c>
      <c r="C30" t="s">
        <v>4</v>
      </c>
      <c r="D30">
        <v>0.9790515279769898</v>
      </c>
    </row>
    <row r="31" spans="1:4" hidden="1" x14ac:dyDescent="0.3">
      <c r="A31" t="s">
        <v>13</v>
      </c>
      <c r="B31" t="s">
        <v>16</v>
      </c>
      <c r="C31" t="s">
        <v>5</v>
      </c>
      <c r="D31">
        <v>0.99478502465145924</v>
      </c>
    </row>
    <row r="32" spans="1:4" hidden="1" x14ac:dyDescent="0.3">
      <c r="A32" t="s">
        <v>13</v>
      </c>
      <c r="B32" t="s">
        <v>16</v>
      </c>
      <c r="C32" t="s">
        <v>6</v>
      </c>
      <c r="D32">
        <v>0.98922951605694354</v>
      </c>
    </row>
    <row r="33" spans="1:4" hidden="1" x14ac:dyDescent="0.3">
      <c r="A33" t="s">
        <v>13</v>
      </c>
      <c r="B33" t="s">
        <v>16</v>
      </c>
      <c r="C33" t="s">
        <v>7</v>
      </c>
      <c r="D33">
        <v>0.98833034515380858</v>
      </c>
    </row>
    <row r="34" spans="1:4" x14ac:dyDescent="0.3">
      <c r="A34" t="s">
        <v>14</v>
      </c>
      <c r="B34" t="s">
        <v>15</v>
      </c>
      <c r="C34" t="s">
        <v>0</v>
      </c>
      <c r="D34">
        <v>0.78410340017742586</v>
      </c>
    </row>
    <row r="35" spans="1:4" x14ac:dyDescent="0.3">
      <c r="A35" t="s">
        <v>14</v>
      </c>
      <c r="B35" t="s">
        <v>15</v>
      </c>
      <c r="C35" t="s">
        <v>1</v>
      </c>
      <c r="D35">
        <v>0.78374321262041724</v>
      </c>
    </row>
    <row r="36" spans="1:4" x14ac:dyDescent="0.3">
      <c r="A36" t="s">
        <v>14</v>
      </c>
      <c r="B36" t="s">
        <v>15</v>
      </c>
      <c r="C36" t="s">
        <v>2</v>
      </c>
      <c r="D36">
        <v>0.80052255590756738</v>
      </c>
    </row>
    <row r="37" spans="1:4" x14ac:dyDescent="0.3">
      <c r="A37" t="s">
        <v>14</v>
      </c>
      <c r="B37" t="s">
        <v>15</v>
      </c>
      <c r="C37" t="s">
        <v>3</v>
      </c>
      <c r="D37">
        <v>0.78298159822439539</v>
      </c>
    </row>
    <row r="38" spans="1:4" x14ac:dyDescent="0.3">
      <c r="A38" t="s">
        <v>14</v>
      </c>
      <c r="B38" t="s">
        <v>15</v>
      </c>
      <c r="C38" t="s">
        <v>4</v>
      </c>
      <c r="D38">
        <v>0.80913830134603715</v>
      </c>
    </row>
    <row r="39" spans="1:4" x14ac:dyDescent="0.3">
      <c r="A39" t="s">
        <v>14</v>
      </c>
      <c r="B39" t="s">
        <v>15</v>
      </c>
      <c r="C39" t="s">
        <v>5</v>
      </c>
      <c r="D39">
        <v>0.79903364039602731</v>
      </c>
    </row>
    <row r="40" spans="1:4" x14ac:dyDescent="0.3">
      <c r="A40" t="s">
        <v>14</v>
      </c>
      <c r="B40" t="s">
        <v>15</v>
      </c>
      <c r="C40" t="s">
        <v>6</v>
      </c>
      <c r="D40">
        <v>0.88083321783277724</v>
      </c>
    </row>
    <row r="41" spans="1:4" x14ac:dyDescent="0.3">
      <c r="A41" t="s">
        <v>14</v>
      </c>
      <c r="B41" t="s">
        <v>15</v>
      </c>
      <c r="C41" t="s">
        <v>7</v>
      </c>
      <c r="D41">
        <v>0.80289389152784607</v>
      </c>
    </row>
    <row r="42" spans="1:4" hidden="1" x14ac:dyDescent="0.3">
      <c r="A42" t="s">
        <v>14</v>
      </c>
      <c r="B42" t="s">
        <v>16</v>
      </c>
      <c r="C42" t="s">
        <v>0</v>
      </c>
      <c r="D42">
        <v>0.78373995707148603</v>
      </c>
    </row>
    <row r="43" spans="1:4" hidden="1" x14ac:dyDescent="0.3">
      <c r="A43" t="s">
        <v>14</v>
      </c>
      <c r="B43" t="s">
        <v>16</v>
      </c>
      <c r="C43" t="s">
        <v>1</v>
      </c>
      <c r="D43">
        <v>0.78210671246051788</v>
      </c>
    </row>
    <row r="44" spans="1:4" hidden="1" x14ac:dyDescent="0.3">
      <c r="A44" t="s">
        <v>14</v>
      </c>
      <c r="B44" t="s">
        <v>16</v>
      </c>
      <c r="C44" t="s">
        <v>2</v>
      </c>
      <c r="D44">
        <v>0.79837141931056976</v>
      </c>
    </row>
    <row r="45" spans="1:4" hidden="1" x14ac:dyDescent="0.3">
      <c r="A45" t="s">
        <v>14</v>
      </c>
      <c r="B45" t="s">
        <v>16</v>
      </c>
      <c r="C45" t="s">
        <v>3</v>
      </c>
      <c r="D45">
        <v>0.78284532003677809</v>
      </c>
    </row>
    <row r="46" spans="1:4" hidden="1" x14ac:dyDescent="0.3">
      <c r="A46" t="s">
        <v>14</v>
      </c>
      <c r="B46" t="s">
        <v>16</v>
      </c>
      <c r="C46" t="s">
        <v>4</v>
      </c>
      <c r="D46">
        <v>0.80036463737487795</v>
      </c>
    </row>
    <row r="47" spans="1:4" hidden="1" x14ac:dyDescent="0.3">
      <c r="A47" t="s">
        <v>14</v>
      </c>
      <c r="B47" t="s">
        <v>16</v>
      </c>
      <c r="C47" t="s">
        <v>5</v>
      </c>
      <c r="D47">
        <v>0.79955087868230679</v>
      </c>
    </row>
    <row r="48" spans="1:4" hidden="1" x14ac:dyDescent="0.3">
      <c r="A48" t="s">
        <v>14</v>
      </c>
      <c r="B48" t="s">
        <v>16</v>
      </c>
      <c r="C48" t="s">
        <v>6</v>
      </c>
      <c r="D48">
        <v>0.88285174596408178</v>
      </c>
    </row>
    <row r="49" spans="1:4" hidden="1" x14ac:dyDescent="0.3">
      <c r="A49" t="s">
        <v>14</v>
      </c>
      <c r="B49" t="s">
        <v>16</v>
      </c>
      <c r="C49" t="s">
        <v>7</v>
      </c>
      <c r="D49">
        <v>0.80323452115058902</v>
      </c>
    </row>
  </sheetData>
  <autoFilter ref="A1:D49" xr:uid="{00000000-0001-0000-0000-000000000000}">
    <filterColumn colId="1">
      <filters>
        <filter val="Tes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1BE1-91EF-4BB5-AD65-FDD9F3FC85C8}">
  <dimension ref="A1:M25"/>
  <sheetViews>
    <sheetView workbookViewId="0">
      <selection activeCell="A2" sqref="A1:C25"/>
    </sheetView>
  </sheetViews>
  <sheetFormatPr defaultRowHeight="14.4" x14ac:dyDescent="0.3"/>
  <cols>
    <col min="1" max="1" width="9.6640625" style="9" bestFit="1" customWidth="1"/>
    <col min="2" max="2" width="12.5546875" bestFit="1" customWidth="1"/>
  </cols>
  <sheetData>
    <row r="1" spans="1:13" s="5" customFormat="1" x14ac:dyDescent="0.3">
      <c r="A1" s="7" t="s">
        <v>8</v>
      </c>
      <c r="B1" s="3" t="s">
        <v>10</v>
      </c>
      <c r="C1" s="4" t="s">
        <v>27</v>
      </c>
      <c r="M1" s="3" t="s">
        <v>24</v>
      </c>
    </row>
    <row r="2" spans="1:13" x14ac:dyDescent="0.3">
      <c r="A2" s="8" t="s">
        <v>12</v>
      </c>
      <c r="B2" t="s">
        <v>23</v>
      </c>
      <c r="C2" s="2">
        <f>M2*100</f>
        <v>99.588009595870972</v>
      </c>
      <c r="M2">
        <v>0.99588009595870974</v>
      </c>
    </row>
    <row r="3" spans="1:13" x14ac:dyDescent="0.3">
      <c r="A3" s="8"/>
      <c r="B3" t="s">
        <v>19</v>
      </c>
      <c r="C3" s="2">
        <f>M3*100</f>
        <v>99.509807676076889</v>
      </c>
      <c r="M3">
        <v>0.99509807676076889</v>
      </c>
    </row>
    <row r="4" spans="1:13" x14ac:dyDescent="0.3">
      <c r="A4" s="8"/>
      <c r="B4" t="s">
        <v>22</v>
      </c>
      <c r="C4" s="2">
        <f>M4*100</f>
        <v>99.197131493860041</v>
      </c>
      <c r="M4">
        <v>0.99197131493860036</v>
      </c>
    </row>
    <row r="5" spans="1:13" x14ac:dyDescent="0.3">
      <c r="A5" s="8"/>
      <c r="B5" t="s">
        <v>3</v>
      </c>
      <c r="C5" s="2">
        <f>M5*100</f>
        <v>99.950135957736236</v>
      </c>
      <c r="M5">
        <v>0.9995013595773623</v>
      </c>
    </row>
    <row r="6" spans="1:13" x14ac:dyDescent="0.3">
      <c r="A6" s="8"/>
      <c r="B6" t="s">
        <v>17</v>
      </c>
      <c r="C6" s="2">
        <f>M6*100</f>
        <v>98.057573891821363</v>
      </c>
      <c r="M6">
        <v>0.98057573891821359</v>
      </c>
    </row>
    <row r="7" spans="1:13" x14ac:dyDescent="0.3">
      <c r="A7" s="8"/>
      <c r="B7" t="s">
        <v>18</v>
      </c>
      <c r="C7" s="2">
        <f>M7*100</f>
        <v>99.160295724868774</v>
      </c>
      <c r="M7">
        <v>0.99160295724868774</v>
      </c>
    </row>
    <row r="8" spans="1:13" x14ac:dyDescent="0.3">
      <c r="A8" s="8"/>
      <c r="B8" t="s">
        <v>20</v>
      </c>
      <c r="C8" s="2">
        <f>M8*100</f>
        <v>99.647028923034668</v>
      </c>
      <c r="M8">
        <v>0.99647028923034664</v>
      </c>
    </row>
    <row r="9" spans="1:13" x14ac:dyDescent="0.3">
      <c r="A9" s="8"/>
      <c r="B9" t="s">
        <v>21</v>
      </c>
      <c r="C9" s="2">
        <f>M9*100</f>
        <v>99.829206934997018</v>
      </c>
      <c r="M9">
        <v>0.99829206934997017</v>
      </c>
    </row>
    <row r="10" spans="1:13" x14ac:dyDescent="0.3">
      <c r="A10" s="8" t="s">
        <v>13</v>
      </c>
      <c r="B10" t="s">
        <v>23</v>
      </c>
      <c r="C10" s="2">
        <f>M10*100</f>
        <v>98.833034515380859</v>
      </c>
      <c r="M10">
        <v>0.98833034515380858</v>
      </c>
    </row>
    <row r="11" spans="1:13" x14ac:dyDescent="0.3">
      <c r="A11" s="8"/>
      <c r="B11" t="s">
        <v>19</v>
      </c>
      <c r="C11" s="2">
        <f>M11*100</f>
        <v>97.224900871515274</v>
      </c>
      <c r="M11">
        <v>0.97224900871515274</v>
      </c>
    </row>
    <row r="12" spans="1:13" x14ac:dyDescent="0.3">
      <c r="A12" s="8"/>
      <c r="B12" t="s">
        <v>22</v>
      </c>
      <c r="C12" s="2">
        <f>M12*100</f>
        <v>98.922951605694351</v>
      </c>
      <c r="M12">
        <v>0.98922951605694354</v>
      </c>
    </row>
    <row r="13" spans="1:13" x14ac:dyDescent="0.3">
      <c r="A13" s="8"/>
      <c r="B13" t="s">
        <v>3</v>
      </c>
      <c r="C13" s="2">
        <f>M13*100</f>
        <v>99.96948895546106</v>
      </c>
      <c r="M13">
        <v>0.99969488955461061</v>
      </c>
    </row>
    <row r="14" spans="1:13" x14ac:dyDescent="0.3">
      <c r="A14" s="8"/>
      <c r="B14" t="s">
        <v>17</v>
      </c>
      <c r="C14" s="2">
        <f>M14*100</f>
        <v>96.727768225329257</v>
      </c>
      <c r="M14">
        <v>0.96727768225329258</v>
      </c>
    </row>
    <row r="15" spans="1:13" x14ac:dyDescent="0.3">
      <c r="A15" s="8"/>
      <c r="B15" t="s">
        <v>18</v>
      </c>
      <c r="C15" s="2">
        <f>M15*100</f>
        <v>99.341542273759842</v>
      </c>
      <c r="M15">
        <v>0.99341542273759842</v>
      </c>
    </row>
    <row r="16" spans="1:13" x14ac:dyDescent="0.3">
      <c r="A16" s="8"/>
      <c r="B16" t="s">
        <v>20</v>
      </c>
      <c r="C16" s="2">
        <f>M16*100</f>
        <v>97.905152797698975</v>
      </c>
      <c r="M16">
        <v>0.9790515279769898</v>
      </c>
    </row>
    <row r="17" spans="1:13" x14ac:dyDescent="0.3">
      <c r="A17" s="8"/>
      <c r="B17" t="s">
        <v>21</v>
      </c>
      <c r="C17" s="2">
        <f>M17*100</f>
        <v>99.478502465145922</v>
      </c>
      <c r="M17">
        <v>0.99478502465145924</v>
      </c>
    </row>
    <row r="18" spans="1:13" x14ac:dyDescent="0.3">
      <c r="A18" s="8" t="s">
        <v>14</v>
      </c>
      <c r="B18" t="s">
        <v>23</v>
      </c>
      <c r="C18" s="2">
        <f>M18*100</f>
        <v>80.323452115058899</v>
      </c>
      <c r="M18">
        <v>0.80323452115058902</v>
      </c>
    </row>
    <row r="19" spans="1:13" x14ac:dyDescent="0.3">
      <c r="A19" s="8"/>
      <c r="B19" t="s">
        <v>19</v>
      </c>
      <c r="C19" s="2">
        <f>M19*100</f>
        <v>79.837141931056976</v>
      </c>
      <c r="M19">
        <v>0.79837141931056976</v>
      </c>
    </row>
    <row r="20" spans="1:13" x14ac:dyDescent="0.3">
      <c r="A20" s="8"/>
      <c r="B20" t="s">
        <v>22</v>
      </c>
      <c r="C20" s="2">
        <f>M20*100</f>
        <v>88.285174596408183</v>
      </c>
      <c r="M20">
        <v>0.88285174596408178</v>
      </c>
    </row>
    <row r="21" spans="1:13" x14ac:dyDescent="0.3">
      <c r="A21" s="8"/>
      <c r="B21" t="s">
        <v>3</v>
      </c>
      <c r="C21" s="2">
        <f>M21*100</f>
        <v>78.284532003677811</v>
      </c>
      <c r="M21">
        <v>0.78284532003677809</v>
      </c>
    </row>
    <row r="22" spans="1:13" x14ac:dyDescent="0.3">
      <c r="A22" s="8"/>
      <c r="B22" t="s">
        <v>17</v>
      </c>
      <c r="C22" s="2">
        <f>M22*100</f>
        <v>78.373995707148609</v>
      </c>
      <c r="M22">
        <v>0.78373995707148603</v>
      </c>
    </row>
    <row r="23" spans="1:13" x14ac:dyDescent="0.3">
      <c r="A23" s="8"/>
      <c r="B23" t="s">
        <v>18</v>
      </c>
      <c r="C23" s="2">
        <f>M23*100</f>
        <v>78.210671246051788</v>
      </c>
      <c r="M23">
        <v>0.78210671246051788</v>
      </c>
    </row>
    <row r="24" spans="1:13" x14ac:dyDescent="0.3">
      <c r="A24" s="8"/>
      <c r="B24" t="s">
        <v>20</v>
      </c>
      <c r="C24" s="2">
        <f>M24*100</f>
        <v>80.036463737487793</v>
      </c>
      <c r="M24">
        <v>0.80036463737487795</v>
      </c>
    </row>
    <row r="25" spans="1:13" x14ac:dyDescent="0.3">
      <c r="A25" s="8"/>
      <c r="B25" t="s">
        <v>21</v>
      </c>
      <c r="C25" s="2">
        <f>M25*100</f>
        <v>79.955087868230677</v>
      </c>
      <c r="M25">
        <v>0.79955087868230679</v>
      </c>
    </row>
  </sheetData>
  <sortState xmlns:xlrd2="http://schemas.microsoft.com/office/spreadsheetml/2017/richdata2" ref="A2:D25">
    <sortCondition ref="A2:A25"/>
    <sortCondition ref="B2:B25"/>
  </sortState>
  <mergeCells count="3">
    <mergeCell ref="A2:A9"/>
    <mergeCell ref="A10:A17"/>
    <mergeCell ref="A18:A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9910-B83F-4B43-9450-1D46B5CA3DD9}">
  <dimension ref="A1:L25"/>
  <sheetViews>
    <sheetView workbookViewId="0">
      <selection activeCell="B13" sqref="A1:C25"/>
    </sheetView>
  </sheetViews>
  <sheetFormatPr defaultRowHeight="14.4" x14ac:dyDescent="0.3"/>
  <cols>
    <col min="1" max="1" width="9.6640625" bestFit="1" customWidth="1"/>
    <col min="2" max="2" width="11.88671875" bestFit="1" customWidth="1"/>
    <col min="3" max="3" width="5.5546875" bestFit="1" customWidth="1"/>
    <col min="12" max="12" width="12" bestFit="1" customWidth="1"/>
  </cols>
  <sheetData>
    <row r="1" spans="1:12" x14ac:dyDescent="0.3">
      <c r="A1" s="1" t="s">
        <v>8</v>
      </c>
      <c r="B1" s="1" t="s">
        <v>10</v>
      </c>
      <c r="C1" s="10" t="s">
        <v>28</v>
      </c>
      <c r="L1" s="1" t="s">
        <v>25</v>
      </c>
    </row>
    <row r="2" spans="1:12" x14ac:dyDescent="0.3">
      <c r="A2" s="11" t="s">
        <v>12</v>
      </c>
      <c r="B2" t="s">
        <v>23</v>
      </c>
      <c r="C2" s="2">
        <f>L2*100</f>
        <v>97.440188744711492</v>
      </c>
      <c r="L2">
        <v>0.97440188744711498</v>
      </c>
    </row>
    <row r="3" spans="1:12" x14ac:dyDescent="0.3">
      <c r="A3" s="6"/>
      <c r="B3" t="s">
        <v>19</v>
      </c>
      <c r="C3" s="2">
        <f>L3*100</f>
        <v>99.405782421429961</v>
      </c>
      <c r="L3">
        <v>0.99405782421429956</v>
      </c>
    </row>
    <row r="4" spans="1:12" x14ac:dyDescent="0.3">
      <c r="A4" s="6"/>
      <c r="B4" t="s">
        <v>22</v>
      </c>
      <c r="C4" s="2">
        <f>L4*100</f>
        <v>99.54045017560324</v>
      </c>
      <c r="L4">
        <v>0.99540450175603234</v>
      </c>
    </row>
    <row r="5" spans="1:12" x14ac:dyDescent="0.3">
      <c r="A5" s="6"/>
      <c r="B5" t="s">
        <v>26</v>
      </c>
      <c r="C5" s="2">
        <f>L5*100</f>
        <v>99.948998445119614</v>
      </c>
      <c r="L5">
        <v>0.99948998445119608</v>
      </c>
    </row>
    <row r="6" spans="1:12" x14ac:dyDescent="0.3">
      <c r="A6" s="6"/>
      <c r="B6" t="s">
        <v>17</v>
      </c>
      <c r="C6" s="2">
        <f>L6*100</f>
        <v>99.701233373747939</v>
      </c>
      <c r="L6">
        <v>0.99701233373747933</v>
      </c>
    </row>
    <row r="7" spans="1:12" x14ac:dyDescent="0.3">
      <c r="A7" s="6"/>
      <c r="B7" t="s">
        <v>18</v>
      </c>
      <c r="C7" s="2">
        <f>L7*100</f>
        <v>99.815227517059867</v>
      </c>
      <c r="L7">
        <v>0.99815227517059868</v>
      </c>
    </row>
    <row r="8" spans="1:12" x14ac:dyDescent="0.3">
      <c r="A8" s="6"/>
      <c r="B8" t="s">
        <v>20</v>
      </c>
      <c r="C8" s="2">
        <f>L8*100</f>
        <v>99.241997467146987</v>
      </c>
      <c r="L8">
        <v>0.99241997467146981</v>
      </c>
    </row>
    <row r="9" spans="1:12" x14ac:dyDescent="0.3">
      <c r="A9" s="6"/>
      <c r="B9" t="s">
        <v>21</v>
      </c>
      <c r="C9" s="2">
        <f>L9*100</f>
        <v>99.595714904166556</v>
      </c>
      <c r="L9">
        <v>0.99595714904166555</v>
      </c>
    </row>
    <row r="10" spans="1:12" x14ac:dyDescent="0.3">
      <c r="A10" s="6" t="s">
        <v>13</v>
      </c>
      <c r="B10" t="s">
        <v>23</v>
      </c>
      <c r="C10" s="2">
        <f>L10*100</f>
        <v>96.114333281441347</v>
      </c>
      <c r="L10">
        <v>0.96114333281441344</v>
      </c>
    </row>
    <row r="11" spans="1:12" x14ac:dyDescent="0.3">
      <c r="A11" s="6"/>
      <c r="B11" t="s">
        <v>19</v>
      </c>
      <c r="C11" s="2">
        <f>L11*100</f>
        <v>99.338068564732879</v>
      </c>
      <c r="L11">
        <v>0.99338068564732873</v>
      </c>
    </row>
    <row r="12" spans="1:12" x14ac:dyDescent="0.3">
      <c r="A12" s="6"/>
      <c r="B12" t="s">
        <v>22</v>
      </c>
      <c r="C12" s="2">
        <f>L12*100</f>
        <v>96.931352217992156</v>
      </c>
      <c r="L12">
        <v>0.96931352217992151</v>
      </c>
    </row>
    <row r="13" spans="1:12" x14ac:dyDescent="0.3">
      <c r="A13" s="6"/>
      <c r="B13" t="s">
        <v>26</v>
      </c>
      <c r="C13" s="2">
        <f>L13*100</f>
        <v>99.96923124178862</v>
      </c>
      <c r="L13">
        <v>0.99969231241788614</v>
      </c>
    </row>
    <row r="14" spans="1:12" x14ac:dyDescent="0.3">
      <c r="A14" s="6"/>
      <c r="B14" t="s">
        <v>17</v>
      </c>
      <c r="C14" s="2">
        <f>L14*100</f>
        <v>98.699307110574509</v>
      </c>
      <c r="L14">
        <v>0.98699307110574508</v>
      </c>
    </row>
    <row r="15" spans="1:12" x14ac:dyDescent="0.3">
      <c r="A15" s="6"/>
      <c r="B15" t="s">
        <v>18</v>
      </c>
      <c r="C15" s="2">
        <f>L15*100</f>
        <v>99.581754988148091</v>
      </c>
      <c r="L15">
        <v>0.99581754988148097</v>
      </c>
    </row>
    <row r="16" spans="1:12" x14ac:dyDescent="0.3">
      <c r="A16" s="6"/>
      <c r="B16" t="s">
        <v>20</v>
      </c>
      <c r="C16" s="2">
        <f>L16*100</f>
        <v>98.9795669582155</v>
      </c>
      <c r="L16">
        <v>0.98979566958215504</v>
      </c>
    </row>
    <row r="17" spans="1:12" x14ac:dyDescent="0.3">
      <c r="A17" s="6"/>
      <c r="B17" t="s">
        <v>21</v>
      </c>
      <c r="C17" s="2">
        <f>L17*100</f>
        <v>98.878433414407681</v>
      </c>
      <c r="L17">
        <v>0.98878433414407674</v>
      </c>
    </row>
    <row r="18" spans="1:12" x14ac:dyDescent="0.3">
      <c r="A18" s="6" t="s">
        <v>14</v>
      </c>
      <c r="B18" t="s">
        <v>23</v>
      </c>
      <c r="C18" s="2">
        <f>L18*100</f>
        <v>78.410340017742584</v>
      </c>
      <c r="L18">
        <v>0.78410340017742586</v>
      </c>
    </row>
    <row r="19" spans="1:12" x14ac:dyDescent="0.3">
      <c r="A19" s="6"/>
      <c r="B19" t="s">
        <v>19</v>
      </c>
      <c r="C19" s="2">
        <f>L19*100</f>
        <v>78.374321262041718</v>
      </c>
      <c r="L19">
        <v>0.78374321262041724</v>
      </c>
    </row>
    <row r="20" spans="1:12" x14ac:dyDescent="0.3">
      <c r="A20" s="6"/>
      <c r="B20" t="s">
        <v>22</v>
      </c>
      <c r="C20" s="2">
        <f>L20*100</f>
        <v>80.052255590756744</v>
      </c>
      <c r="L20">
        <v>0.80052255590756738</v>
      </c>
    </row>
    <row r="21" spans="1:12" x14ac:dyDescent="0.3">
      <c r="A21" s="6"/>
      <c r="B21" t="s">
        <v>26</v>
      </c>
      <c r="C21" s="2">
        <f>L21*100</f>
        <v>78.298159822439544</v>
      </c>
      <c r="L21">
        <v>0.78298159822439539</v>
      </c>
    </row>
    <row r="22" spans="1:12" x14ac:dyDescent="0.3">
      <c r="A22" s="6"/>
      <c r="B22" t="s">
        <v>17</v>
      </c>
      <c r="C22" s="2">
        <f>L22*100</f>
        <v>80.913830134603714</v>
      </c>
      <c r="L22">
        <v>0.80913830134603715</v>
      </c>
    </row>
    <row r="23" spans="1:12" x14ac:dyDescent="0.3">
      <c r="A23" s="6"/>
      <c r="B23" t="s">
        <v>18</v>
      </c>
      <c r="C23" s="2">
        <f>L23*100</f>
        <v>79.903364039602735</v>
      </c>
      <c r="L23">
        <v>0.79903364039602731</v>
      </c>
    </row>
    <row r="24" spans="1:12" x14ac:dyDescent="0.3">
      <c r="A24" s="6"/>
      <c r="B24" t="s">
        <v>20</v>
      </c>
      <c r="C24" s="2">
        <f>L24*100</f>
        <v>88.083321783277725</v>
      </c>
      <c r="L24">
        <v>0.88083321783277724</v>
      </c>
    </row>
    <row r="25" spans="1:12" x14ac:dyDescent="0.3">
      <c r="A25" s="6"/>
      <c r="B25" t="s">
        <v>21</v>
      </c>
      <c r="C25" s="2">
        <f>L25*100</f>
        <v>80.289389152784608</v>
      </c>
      <c r="L25">
        <v>0.80289389152784607</v>
      </c>
    </row>
  </sheetData>
  <sortState xmlns:xlrd2="http://schemas.microsoft.com/office/spreadsheetml/2017/richdata2" ref="A2:C25">
    <sortCondition ref="A2:A25"/>
    <sortCondition ref="B2:B25"/>
  </sortState>
  <mergeCells count="3">
    <mergeCell ref="A2:A9"/>
    <mergeCell ref="A10:A17"/>
    <mergeCell ref="A18:A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CAA0-5F03-4EDC-AC94-36B63A9B7297}">
  <dimension ref="A1:Q28"/>
  <sheetViews>
    <sheetView workbookViewId="0">
      <selection activeCell="J11" sqref="J11"/>
    </sheetView>
  </sheetViews>
  <sheetFormatPr defaultRowHeight="14.4" x14ac:dyDescent="0.3"/>
  <cols>
    <col min="1" max="1" width="9.6640625" bestFit="1" customWidth="1"/>
    <col min="2" max="2" width="12.5546875" bestFit="1" customWidth="1"/>
    <col min="3" max="3" width="12.88671875" bestFit="1" customWidth="1"/>
    <col min="4" max="4" width="25.21875" customWidth="1"/>
  </cols>
  <sheetData>
    <row r="1" spans="1:17" ht="23.4" x14ac:dyDescent="0.45">
      <c r="C1" s="16" t="s">
        <v>29</v>
      </c>
      <c r="D1" s="16"/>
      <c r="L1" s="6"/>
      <c r="M1" s="6"/>
    </row>
    <row r="2" spans="1:17" x14ac:dyDescent="0.3">
      <c r="A2" s="8" t="s">
        <v>8</v>
      </c>
      <c r="B2" s="8" t="s">
        <v>10</v>
      </c>
      <c r="C2" s="6" t="s">
        <v>11</v>
      </c>
      <c r="D2" s="6"/>
      <c r="K2" s="9" t="s">
        <v>34</v>
      </c>
      <c r="L2" s="6" t="s">
        <v>11</v>
      </c>
      <c r="M2" s="6"/>
      <c r="N2" s="6"/>
      <c r="O2" s="6"/>
      <c r="P2" s="6"/>
      <c r="Q2" s="6"/>
    </row>
    <row r="3" spans="1:17" ht="36" customHeight="1" x14ac:dyDescent="0.3">
      <c r="A3" s="8"/>
      <c r="B3" s="8"/>
      <c r="C3" t="s">
        <v>16</v>
      </c>
      <c r="D3" t="s">
        <v>15</v>
      </c>
      <c r="K3" s="9" t="s">
        <v>8</v>
      </c>
      <c r="L3" s="8" t="s">
        <v>12</v>
      </c>
      <c r="M3" s="8"/>
      <c r="N3" s="14" t="s">
        <v>32</v>
      </c>
      <c r="O3" s="14"/>
      <c r="P3" s="8" t="s">
        <v>14</v>
      </c>
      <c r="Q3" s="8"/>
    </row>
    <row r="4" spans="1:17" x14ac:dyDescent="0.3">
      <c r="A4" s="12"/>
      <c r="B4" s="12"/>
      <c r="K4" s="9" t="s">
        <v>10</v>
      </c>
      <c r="L4" s="9" t="s">
        <v>16</v>
      </c>
      <c r="M4" s="9" t="s">
        <v>15</v>
      </c>
      <c r="N4" s="9" t="s">
        <v>33</v>
      </c>
      <c r="O4" s="9" t="s">
        <v>15</v>
      </c>
      <c r="P4" s="9" t="s">
        <v>16</v>
      </c>
      <c r="Q4" s="9" t="s">
        <v>15</v>
      </c>
    </row>
    <row r="5" spans="1:17" x14ac:dyDescent="0.3">
      <c r="A5" s="8" t="s">
        <v>12</v>
      </c>
      <c r="B5" t="s">
        <v>23</v>
      </c>
      <c r="C5" s="2">
        <v>99.588009595870972</v>
      </c>
      <c r="D5" s="2">
        <v>97.440188744711492</v>
      </c>
      <c r="K5" t="s">
        <v>23</v>
      </c>
      <c r="L5" s="2">
        <v>99.588009595870972</v>
      </c>
      <c r="M5" s="2">
        <v>97.440188744711492</v>
      </c>
      <c r="N5" s="2">
        <v>98.833034515380859</v>
      </c>
      <c r="O5" s="2">
        <v>96.114333281441347</v>
      </c>
      <c r="P5" s="2">
        <v>80.323452115058899</v>
      </c>
      <c r="Q5" s="2">
        <v>78.410340017742584</v>
      </c>
    </row>
    <row r="6" spans="1:17" x14ac:dyDescent="0.3">
      <c r="A6" s="8"/>
      <c r="B6" t="s">
        <v>19</v>
      </c>
      <c r="C6" s="2">
        <v>99.509807676076889</v>
      </c>
      <c r="D6" s="2">
        <v>99.405782421429961</v>
      </c>
      <c r="K6" t="s">
        <v>19</v>
      </c>
      <c r="L6" s="2">
        <v>99.509807676076889</v>
      </c>
      <c r="M6" s="2">
        <v>99.405782421429961</v>
      </c>
      <c r="N6" s="2">
        <v>97.224900871515274</v>
      </c>
      <c r="O6" s="2">
        <v>99.338068564732879</v>
      </c>
      <c r="P6" s="2">
        <v>79.837141931056976</v>
      </c>
      <c r="Q6" s="2">
        <v>78.374321262041718</v>
      </c>
    </row>
    <row r="7" spans="1:17" x14ac:dyDescent="0.3">
      <c r="A7" s="8"/>
      <c r="B7" t="s">
        <v>22</v>
      </c>
      <c r="C7" s="2">
        <v>99.197131493860041</v>
      </c>
      <c r="D7" s="2">
        <v>99.54045017560324</v>
      </c>
      <c r="K7" t="s">
        <v>22</v>
      </c>
      <c r="L7" s="2">
        <v>99.197131493860041</v>
      </c>
      <c r="M7" s="2">
        <v>99.54045017560324</v>
      </c>
      <c r="N7" s="2">
        <v>98.922951605694351</v>
      </c>
      <c r="O7" s="2">
        <v>96.931352217992156</v>
      </c>
      <c r="P7" s="2">
        <v>88.285174596408183</v>
      </c>
      <c r="Q7" s="2">
        <v>80.052255590756744</v>
      </c>
    </row>
    <row r="8" spans="1:17" x14ac:dyDescent="0.3">
      <c r="A8" s="8"/>
      <c r="B8" t="s">
        <v>3</v>
      </c>
      <c r="C8" s="2">
        <v>99.950135957736236</v>
      </c>
      <c r="D8" s="2">
        <v>99.948998445119614</v>
      </c>
      <c r="K8" t="s">
        <v>3</v>
      </c>
      <c r="L8" s="2">
        <v>99.950135957736236</v>
      </c>
      <c r="M8" s="2">
        <v>99.948998445119614</v>
      </c>
      <c r="N8" s="2">
        <v>99.96948895546106</v>
      </c>
      <c r="O8" s="2">
        <v>99.96923124178862</v>
      </c>
      <c r="P8" s="2">
        <v>78.284532003677811</v>
      </c>
      <c r="Q8" s="2">
        <v>78.298159822439544</v>
      </c>
    </row>
    <row r="9" spans="1:17" x14ac:dyDescent="0.3">
      <c r="A9" s="8"/>
      <c r="B9" t="s">
        <v>17</v>
      </c>
      <c r="C9" s="2">
        <v>98.057573891821363</v>
      </c>
      <c r="D9" s="2">
        <v>99.701233373747939</v>
      </c>
      <c r="K9" t="s">
        <v>17</v>
      </c>
      <c r="L9" s="2">
        <v>98.057573891821363</v>
      </c>
      <c r="M9" s="2">
        <v>99.701233373747939</v>
      </c>
      <c r="N9" s="2">
        <v>96.727768225329257</v>
      </c>
      <c r="O9" s="2">
        <v>98.699307110574509</v>
      </c>
      <c r="P9" s="2">
        <v>78.373995707148609</v>
      </c>
      <c r="Q9" s="2">
        <v>80.913830134603714</v>
      </c>
    </row>
    <row r="10" spans="1:17" x14ac:dyDescent="0.3">
      <c r="A10" s="8"/>
      <c r="B10" t="s">
        <v>18</v>
      </c>
      <c r="C10" s="2">
        <v>99.160295724868774</v>
      </c>
      <c r="D10" s="2">
        <v>99.815227517059867</v>
      </c>
      <c r="K10" t="s">
        <v>18</v>
      </c>
      <c r="L10" s="2">
        <v>99.160295724868774</v>
      </c>
      <c r="M10" s="2">
        <v>99.815227517059867</v>
      </c>
      <c r="N10" s="2">
        <v>99.341542273759842</v>
      </c>
      <c r="O10" s="2">
        <v>99.581754988148091</v>
      </c>
      <c r="P10" s="2">
        <v>78.210671246051788</v>
      </c>
      <c r="Q10" s="2">
        <v>79.903364039602735</v>
      </c>
    </row>
    <row r="11" spans="1:17" x14ac:dyDescent="0.3">
      <c r="A11" s="8"/>
      <c r="B11" t="s">
        <v>20</v>
      </c>
      <c r="C11" s="2">
        <v>99.647028923034668</v>
      </c>
      <c r="D11" s="2">
        <v>99.241997467146987</v>
      </c>
      <c r="K11" t="s">
        <v>20</v>
      </c>
      <c r="L11" s="2">
        <v>99.647028923034668</v>
      </c>
      <c r="M11" s="2">
        <v>99.241997467146987</v>
      </c>
      <c r="N11" s="2">
        <v>97.905152797698975</v>
      </c>
      <c r="O11" s="2">
        <v>98.9795669582155</v>
      </c>
      <c r="P11" s="2">
        <v>80.036463737487793</v>
      </c>
      <c r="Q11" s="2">
        <v>88.083321783277725</v>
      </c>
    </row>
    <row r="12" spans="1:17" x14ac:dyDescent="0.3">
      <c r="A12" s="8"/>
      <c r="B12" t="s">
        <v>21</v>
      </c>
      <c r="C12" s="2">
        <v>99.829206934997018</v>
      </c>
      <c r="D12" s="2">
        <v>99.595714904166556</v>
      </c>
      <c r="K12" t="s">
        <v>21</v>
      </c>
      <c r="L12" s="2">
        <v>99.829206934997018</v>
      </c>
      <c r="M12" s="2">
        <v>99.595714904166556</v>
      </c>
      <c r="N12" s="2">
        <v>99.478502465145922</v>
      </c>
      <c r="O12" s="2">
        <v>98.878433414407681</v>
      </c>
      <c r="P12" s="2">
        <v>79.955087868230677</v>
      </c>
      <c r="Q12" s="2">
        <v>80.289389152784608</v>
      </c>
    </row>
    <row r="13" spans="1:17" x14ac:dyDescent="0.3">
      <c r="A13" s="8" t="s">
        <v>13</v>
      </c>
      <c r="B13" t="s">
        <v>23</v>
      </c>
      <c r="C13" s="2">
        <v>98.833034515380859</v>
      </c>
      <c r="D13" s="2">
        <v>96.114333281441347</v>
      </c>
    </row>
    <row r="14" spans="1:17" x14ac:dyDescent="0.3">
      <c r="A14" s="8"/>
      <c r="B14" t="s">
        <v>19</v>
      </c>
      <c r="C14" s="2">
        <v>97.224900871515274</v>
      </c>
      <c r="D14" s="2">
        <v>99.338068564732879</v>
      </c>
    </row>
    <row r="15" spans="1:17" x14ac:dyDescent="0.3">
      <c r="A15" s="8"/>
      <c r="B15" t="s">
        <v>22</v>
      </c>
      <c r="C15" s="2">
        <v>98.922951605694351</v>
      </c>
      <c r="D15" s="2">
        <v>96.931352217992156</v>
      </c>
    </row>
    <row r="16" spans="1:17" x14ac:dyDescent="0.3">
      <c r="A16" s="8"/>
      <c r="B16" t="s">
        <v>3</v>
      </c>
      <c r="C16" s="2">
        <v>99.96948895546106</v>
      </c>
      <c r="D16" s="2">
        <v>99.96923124178862</v>
      </c>
    </row>
    <row r="17" spans="1:4" x14ac:dyDescent="0.3">
      <c r="A17" s="8"/>
      <c r="B17" t="s">
        <v>17</v>
      </c>
      <c r="C17" s="2">
        <v>96.727768225329257</v>
      </c>
      <c r="D17" s="2">
        <v>98.699307110574509</v>
      </c>
    </row>
    <row r="18" spans="1:4" x14ac:dyDescent="0.3">
      <c r="A18" s="8"/>
      <c r="B18" t="s">
        <v>18</v>
      </c>
      <c r="C18" s="2">
        <v>99.341542273759842</v>
      </c>
      <c r="D18" s="2">
        <v>99.581754988148091</v>
      </c>
    </row>
    <row r="19" spans="1:4" x14ac:dyDescent="0.3">
      <c r="A19" s="8"/>
      <c r="B19" t="s">
        <v>20</v>
      </c>
      <c r="C19" s="2">
        <v>97.905152797698975</v>
      </c>
      <c r="D19" s="2">
        <v>98.9795669582155</v>
      </c>
    </row>
    <row r="20" spans="1:4" x14ac:dyDescent="0.3">
      <c r="A20" s="8"/>
      <c r="B20" t="s">
        <v>21</v>
      </c>
      <c r="C20" s="2">
        <v>99.478502465145922</v>
      </c>
      <c r="D20" s="2">
        <v>98.878433414407681</v>
      </c>
    </row>
    <row r="21" spans="1:4" x14ac:dyDescent="0.3">
      <c r="A21" s="8" t="s">
        <v>14</v>
      </c>
      <c r="B21" t="s">
        <v>23</v>
      </c>
      <c r="C21" s="2">
        <v>80.323452115058899</v>
      </c>
      <c r="D21" s="2">
        <v>78.410340017742584</v>
      </c>
    </row>
    <row r="22" spans="1:4" x14ac:dyDescent="0.3">
      <c r="A22" s="8"/>
      <c r="B22" t="s">
        <v>19</v>
      </c>
      <c r="C22" s="2">
        <v>79.837141931056976</v>
      </c>
      <c r="D22" s="2">
        <v>78.374321262041718</v>
      </c>
    </row>
    <row r="23" spans="1:4" x14ac:dyDescent="0.3">
      <c r="A23" s="8"/>
      <c r="B23" t="s">
        <v>22</v>
      </c>
      <c r="C23" s="2">
        <v>88.285174596408183</v>
      </c>
      <c r="D23" s="2">
        <v>80.052255590756744</v>
      </c>
    </row>
    <row r="24" spans="1:4" x14ac:dyDescent="0.3">
      <c r="A24" s="8"/>
      <c r="B24" t="s">
        <v>3</v>
      </c>
      <c r="C24" s="2">
        <v>78.284532003677811</v>
      </c>
      <c r="D24" s="2">
        <v>78.298159822439544</v>
      </c>
    </row>
    <row r="25" spans="1:4" x14ac:dyDescent="0.3">
      <c r="A25" s="8"/>
      <c r="B25" t="s">
        <v>17</v>
      </c>
      <c r="C25" s="2">
        <v>78.373995707148609</v>
      </c>
      <c r="D25" s="2">
        <v>80.913830134603714</v>
      </c>
    </row>
    <row r="26" spans="1:4" x14ac:dyDescent="0.3">
      <c r="A26" s="8"/>
      <c r="B26" t="s">
        <v>18</v>
      </c>
      <c r="C26" s="2">
        <v>78.210671246051788</v>
      </c>
      <c r="D26" s="2">
        <v>79.903364039602735</v>
      </c>
    </row>
    <row r="27" spans="1:4" x14ac:dyDescent="0.3">
      <c r="A27" s="8"/>
      <c r="B27" t="s">
        <v>20</v>
      </c>
      <c r="C27" s="2">
        <v>80.036463737487793</v>
      </c>
      <c r="D27" s="2">
        <v>88.083321783277725</v>
      </c>
    </row>
    <row r="28" spans="1:4" x14ac:dyDescent="0.3">
      <c r="A28" s="8"/>
      <c r="B28" t="s">
        <v>21</v>
      </c>
      <c r="C28" s="2">
        <v>79.955087868230677</v>
      </c>
      <c r="D28" s="2">
        <v>80.289389152784608</v>
      </c>
    </row>
  </sheetData>
  <mergeCells count="12">
    <mergeCell ref="L3:M3"/>
    <mergeCell ref="N3:O3"/>
    <mergeCell ref="P3:Q3"/>
    <mergeCell ref="L2:Q2"/>
    <mergeCell ref="A13:A20"/>
    <mergeCell ref="A21:A28"/>
    <mergeCell ref="C1:D1"/>
    <mergeCell ref="L1:M1"/>
    <mergeCell ref="C2:D2"/>
    <mergeCell ref="B2:B3"/>
    <mergeCell ref="A2:A3"/>
    <mergeCell ref="A5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416C-2F82-4A14-A7E5-91F660585AB3}">
  <dimension ref="A2:J12"/>
  <sheetViews>
    <sheetView tabSelected="1" workbookViewId="0">
      <selection activeCell="H19" sqref="H19"/>
    </sheetView>
  </sheetViews>
  <sheetFormatPr defaultRowHeight="14.4" x14ac:dyDescent="0.3"/>
  <cols>
    <col min="2" max="3" width="12.6640625" customWidth="1"/>
    <col min="4" max="5" width="12.77734375" customWidth="1"/>
  </cols>
  <sheetData>
    <row r="2" spans="1:10" x14ac:dyDescent="0.3">
      <c r="A2" s="8" t="s">
        <v>10</v>
      </c>
      <c r="B2" s="6" t="s">
        <v>11</v>
      </c>
      <c r="C2" s="6"/>
      <c r="D2" s="6"/>
      <c r="E2" s="6"/>
      <c r="G2" s="13"/>
      <c r="H2" s="13"/>
      <c r="I2" s="1"/>
      <c r="J2" s="1"/>
    </row>
    <row r="3" spans="1:10" ht="57.6" customHeight="1" x14ac:dyDescent="0.3">
      <c r="A3" s="8"/>
      <c r="B3" s="14" t="s">
        <v>29</v>
      </c>
      <c r="C3" s="14"/>
      <c r="D3" s="14" t="s">
        <v>30</v>
      </c>
      <c r="E3" s="14"/>
      <c r="G3" s="12"/>
      <c r="H3" s="12"/>
    </row>
    <row r="4" spans="1:10" ht="43.2" x14ac:dyDescent="0.3">
      <c r="A4" s="8"/>
      <c r="B4" s="15" t="s">
        <v>32</v>
      </c>
      <c r="C4" s="15" t="s">
        <v>31</v>
      </c>
      <c r="D4" s="15" t="s">
        <v>32</v>
      </c>
      <c r="E4" s="15" t="s">
        <v>31</v>
      </c>
      <c r="G4" s="12"/>
      <c r="H4" s="12"/>
    </row>
    <row r="5" spans="1:10" x14ac:dyDescent="0.3">
      <c r="A5" t="s">
        <v>23</v>
      </c>
      <c r="B5" s="2">
        <v>96.114333281441347</v>
      </c>
      <c r="C5" s="2"/>
      <c r="D5" s="2">
        <v>97.21</v>
      </c>
      <c r="G5" s="12"/>
      <c r="H5" s="12"/>
    </row>
    <row r="6" spans="1:10" x14ac:dyDescent="0.3">
      <c r="A6" t="s">
        <v>19</v>
      </c>
      <c r="B6" s="2">
        <v>99.338068564732879</v>
      </c>
      <c r="C6" s="2">
        <v>88</v>
      </c>
      <c r="D6" s="2">
        <v>99.63</v>
      </c>
      <c r="E6" s="2">
        <v>89</v>
      </c>
      <c r="G6" s="12"/>
      <c r="H6" s="12"/>
    </row>
    <row r="7" spans="1:10" x14ac:dyDescent="0.3">
      <c r="A7" t="s">
        <v>22</v>
      </c>
      <c r="B7" s="2">
        <v>96.931352217992156</v>
      </c>
      <c r="C7" s="2"/>
      <c r="D7" s="2">
        <v>97.98</v>
      </c>
      <c r="G7" s="12"/>
      <c r="H7" s="12"/>
    </row>
    <row r="8" spans="1:10" x14ac:dyDescent="0.3">
      <c r="A8" t="s">
        <v>3</v>
      </c>
      <c r="B8" s="2">
        <v>99.96923124178862</v>
      </c>
      <c r="C8" s="2">
        <v>87</v>
      </c>
      <c r="D8" s="2">
        <v>99.87</v>
      </c>
      <c r="E8" s="2">
        <v>88</v>
      </c>
      <c r="G8" s="12"/>
      <c r="H8" s="12"/>
    </row>
    <row r="9" spans="1:10" x14ac:dyDescent="0.3">
      <c r="A9" t="s">
        <v>17</v>
      </c>
      <c r="B9" s="2">
        <v>98.699307110574509</v>
      </c>
      <c r="C9" s="2">
        <v>91</v>
      </c>
      <c r="D9" s="2">
        <v>95.74</v>
      </c>
      <c r="E9" s="2">
        <v>91</v>
      </c>
      <c r="G9" s="12"/>
      <c r="H9" s="12"/>
    </row>
    <row r="10" spans="1:10" x14ac:dyDescent="0.3">
      <c r="A10" t="s">
        <v>18</v>
      </c>
      <c r="B10" s="2">
        <v>99.581754988148091</v>
      </c>
      <c r="C10" s="2">
        <v>96</v>
      </c>
      <c r="D10" s="2">
        <v>99.5</v>
      </c>
      <c r="E10" s="2">
        <v>96</v>
      </c>
      <c r="G10" s="12"/>
      <c r="H10" s="12"/>
    </row>
    <row r="11" spans="1:10" x14ac:dyDescent="0.3">
      <c r="A11" t="s">
        <v>20</v>
      </c>
      <c r="B11" s="2">
        <v>98.9795669582155</v>
      </c>
      <c r="C11" s="2"/>
      <c r="D11" s="2">
        <v>99.89</v>
      </c>
      <c r="G11" s="12"/>
      <c r="H11" s="12"/>
    </row>
    <row r="12" spans="1:10" x14ac:dyDescent="0.3">
      <c r="A12" t="s">
        <v>21</v>
      </c>
      <c r="B12" s="2">
        <v>98.878433414407681</v>
      </c>
      <c r="C12" s="2">
        <v>82</v>
      </c>
      <c r="D12" s="2">
        <v>99.86</v>
      </c>
      <c r="E12" s="2">
        <v>80</v>
      </c>
      <c r="G12" s="12"/>
      <c r="H12" s="12"/>
    </row>
  </sheetData>
  <mergeCells count="4">
    <mergeCell ref="B3:C3"/>
    <mergeCell ref="D3:E3"/>
    <mergeCell ref="B2:E2"/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validation</vt:lpstr>
      <vt:lpstr>test</vt:lpstr>
      <vt:lpstr>combined_model_trained_on_all_d</vt:lpstr>
      <vt:lpstr>combined_comparison_test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Mahri Kadyrova</cp:lastModifiedBy>
  <dcterms:created xsi:type="dcterms:W3CDTF">2026-03-30T18:18:38Z</dcterms:created>
  <dcterms:modified xsi:type="dcterms:W3CDTF">2026-03-30T20:03:06Z</dcterms:modified>
</cp:coreProperties>
</file>